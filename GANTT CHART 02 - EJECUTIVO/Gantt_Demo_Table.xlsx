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_Demo" sheetId="1" r:id="rId5"/>
  </sheets>
  <definedNames/>
  <calcPr/>
</workbook>
</file>

<file path=xl/sharedStrings.xml><?xml version="1.0" encoding="utf-8"?>
<sst xmlns="http://schemas.openxmlformats.org/spreadsheetml/2006/main" count="125" uniqueCount="64">
  <si>
    <t>id</t>
  </si>
  <si>
    <t>proyecto</t>
  </si>
  <si>
    <t>fase</t>
  </si>
  <si>
    <t>tarea</t>
  </si>
  <si>
    <t>prioridad</t>
  </si>
  <si>
    <t>inicio</t>
  </si>
  <si>
    <t>fin</t>
  </si>
  <si>
    <t>avance_planificado</t>
  </si>
  <si>
    <t>avance</t>
  </si>
  <si>
    <t>desviacion_avance</t>
  </si>
  <si>
    <t>responsable</t>
  </si>
  <si>
    <t>hito</t>
  </si>
  <si>
    <t>predecesoras</t>
  </si>
  <si>
    <t>enlace</t>
  </si>
  <si>
    <t>linea_base_inicio</t>
  </si>
  <si>
    <t>linea_base_fin</t>
  </si>
  <si>
    <t>ruta_critica</t>
  </si>
  <si>
    <t>atraso_dias</t>
  </si>
  <si>
    <t>estado</t>
  </si>
  <si>
    <t>estado_orden</t>
  </si>
  <si>
    <t>semaforo_estado</t>
  </si>
  <si>
    <t>PROYECTO COMPLETO</t>
  </si>
  <si>
    <t>INICIO</t>
  </si>
  <si>
    <t>Acta de inicio y kick-off</t>
  </si>
  <si>
    <t>Media</t>
  </si>
  <si>
    <t>PM / Supervisión</t>
  </si>
  <si>
    <t>No</t>
  </si>
  <si>
    <t>Completado</t>
  </si>
  <si>
    <t>Verde</t>
  </si>
  <si>
    <t>Levantamiento de alcance y entregables</t>
  </si>
  <si>
    <t>Alta</t>
  </si>
  <si>
    <t>PM / Contratista</t>
  </si>
  <si>
    <t>Sí</t>
  </si>
  <si>
    <t>Crítico</t>
  </si>
  <si>
    <t>Rojo</t>
  </si>
  <si>
    <t>INGENIERÍA</t>
  </si>
  <si>
    <t>Revisión de planos IFC / diseño</t>
  </si>
  <si>
    <t>Ingeniería</t>
  </si>
  <si>
    <t>PROCURA</t>
  </si>
  <si>
    <t>Compra y logística de materiales críticos</t>
  </si>
  <si>
    <t>Muy Alta</t>
  </si>
  <si>
    <t>Procura / Contratista</t>
  </si>
  <si>
    <t>OBRA CIVIL</t>
  </si>
  <si>
    <t>Replanteo topográfico</t>
  </si>
  <si>
    <t>Topografía</t>
  </si>
  <si>
    <t>Excavación de fundaciones</t>
  </si>
  <si>
    <t>Obra civil</t>
  </si>
  <si>
    <t>Armado de acero y formaleta</t>
  </si>
  <si>
    <t>En ejecución</t>
  </si>
  <si>
    <t>Azul</t>
  </si>
  <si>
    <t>Colado de concreto en pedestales</t>
  </si>
  <si>
    <t>No iniciado</t>
  </si>
  <si>
    <t>Gris claro</t>
  </si>
  <si>
    <t>Fin de obras civiles</t>
  </si>
  <si>
    <t>MONTAJE ELECTROMECÁNICO</t>
  </si>
  <si>
    <t>Montaje de estructuras metálicas</t>
  </si>
  <si>
    <t>Montaje</t>
  </si>
  <si>
    <t>Instalación de equipos principales</t>
  </si>
  <si>
    <t>Montaje / Subestaciones</t>
  </si>
  <si>
    <t>PRUEBAS Y PUESTA EN SERVICIO</t>
  </si>
  <si>
    <t>Pruebas eléctricas y control/protección</t>
  </si>
  <si>
    <t>Pruebas / Protecciones</t>
  </si>
  <si>
    <t>Energización / puesta en servicio</t>
  </si>
  <si>
    <t>PM / Operación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</si>
</sst>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3" width="35.0"/>
    <col customWidth="1" min="4" max="4" width="45.0"/>
    <col customWidth="1" min="5" max="5" width="15.0"/>
    <col customWidth="1" min="6" max="7" width="14.0"/>
    <col customWidth="1" min="8" max="8" width="17.43"/>
    <col customWidth="1" min="9" max="9" width="10.0"/>
    <col customWidth="1" min="10" max="10" width="17.0"/>
    <col customWidth="1" min="11" max="11" width="28.0"/>
    <col customWidth="1" min="12" max="12" width="10.0"/>
    <col customWidth="1" min="13" max="13" width="15.0"/>
    <col customWidth="1" min="14" max="16" width="18.0"/>
    <col customWidth="1" min="17" max="17" width="15.0"/>
    <col customWidth="1" min="18" max="18" width="10.86"/>
    <col customWidth="1" min="19" max="19" width="11.86"/>
    <col customWidth="1" min="20" max="20" width="16.0"/>
    <col customWidth="1" min="21" max="21" width="16.29"/>
    <col customWidth="1" min="22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3">
        <v>46146.0</v>
      </c>
      <c r="G2" s="3">
        <v>46146.0</v>
      </c>
      <c r="H2" s="2">
        <v>100.0</v>
      </c>
      <c r="I2" s="2">
        <v>100.0</v>
      </c>
      <c r="J2" s="2">
        <f t="shared" ref="J2:J14" si="1">H2-I2</f>
        <v>0</v>
      </c>
      <c r="K2" s="2" t="s">
        <v>25</v>
      </c>
      <c r="L2" s="2" t="b">
        <v>0</v>
      </c>
      <c r="N2" s="4"/>
      <c r="O2" s="3">
        <v>46146.0</v>
      </c>
      <c r="P2" s="3">
        <v>46146.0</v>
      </c>
      <c r="Q2" s="2" t="s">
        <v>26</v>
      </c>
      <c r="R2" s="2">
        <f t="shared" ref="R2:R14" si="2">IF(J2&gt;0,ROUNDUP(J2/100*((P2-O2)+1),0),0)</f>
        <v>0</v>
      </c>
      <c r="S2" s="2" t="s">
        <v>27</v>
      </c>
      <c r="T2" s="2">
        <v>6.0</v>
      </c>
      <c r="U2" s="2" t="s">
        <v>28</v>
      </c>
    </row>
    <row r="3">
      <c r="A3" s="2">
        <v>2.0</v>
      </c>
      <c r="B3" s="2" t="s">
        <v>21</v>
      </c>
      <c r="C3" s="2" t="s">
        <v>22</v>
      </c>
      <c r="D3" s="2" t="s">
        <v>29</v>
      </c>
      <c r="E3" s="2" t="s">
        <v>30</v>
      </c>
      <c r="F3" s="3">
        <v>46146.0</v>
      </c>
      <c r="G3" s="3">
        <v>46148.0</v>
      </c>
      <c r="H3" s="2">
        <v>100.0</v>
      </c>
      <c r="I3" s="2">
        <v>90.0</v>
      </c>
      <c r="J3" s="2">
        <f t="shared" si="1"/>
        <v>10</v>
      </c>
      <c r="K3" s="2" t="s">
        <v>31</v>
      </c>
      <c r="L3" s="2" t="b">
        <v>0</v>
      </c>
      <c r="M3" s="2">
        <v>1.0</v>
      </c>
      <c r="N3" s="4"/>
      <c r="O3" s="3">
        <v>46146.0</v>
      </c>
      <c r="P3" s="3">
        <v>46148.0</v>
      </c>
      <c r="Q3" s="2" t="s">
        <v>32</v>
      </c>
      <c r="R3" s="2">
        <f t="shared" si="2"/>
        <v>1</v>
      </c>
      <c r="S3" s="2" t="s">
        <v>33</v>
      </c>
      <c r="T3" s="2">
        <v>1.0</v>
      </c>
      <c r="U3" s="2" t="s">
        <v>34</v>
      </c>
    </row>
    <row r="4">
      <c r="A4" s="2">
        <v>3.0</v>
      </c>
      <c r="B4" s="2" t="s">
        <v>21</v>
      </c>
      <c r="C4" s="2" t="s">
        <v>35</v>
      </c>
      <c r="D4" s="2" t="s">
        <v>36</v>
      </c>
      <c r="E4" s="2" t="s">
        <v>30</v>
      </c>
      <c r="F4" s="3">
        <v>46149.0</v>
      </c>
      <c r="G4" s="3">
        <v>46155.0</v>
      </c>
      <c r="H4" s="2">
        <v>100.0</v>
      </c>
      <c r="I4" s="2">
        <v>75.0</v>
      </c>
      <c r="J4" s="2">
        <f t="shared" si="1"/>
        <v>25</v>
      </c>
      <c r="K4" s="2" t="s">
        <v>37</v>
      </c>
      <c r="L4" s="2" t="b">
        <v>0</v>
      </c>
      <c r="M4" s="2">
        <v>2.0</v>
      </c>
      <c r="N4" s="4"/>
      <c r="O4" s="3">
        <v>46149.0</v>
      </c>
      <c r="P4" s="3">
        <v>46155.0</v>
      </c>
      <c r="Q4" s="2" t="s">
        <v>32</v>
      </c>
      <c r="R4" s="2">
        <f t="shared" si="2"/>
        <v>2</v>
      </c>
      <c r="S4" s="2" t="s">
        <v>33</v>
      </c>
      <c r="T4" s="2">
        <v>1.0</v>
      </c>
      <c r="U4" s="2" t="s">
        <v>34</v>
      </c>
    </row>
    <row r="5">
      <c r="A5" s="2">
        <v>4.0</v>
      </c>
      <c r="B5" s="2" t="s">
        <v>21</v>
      </c>
      <c r="C5" s="2" t="s">
        <v>38</v>
      </c>
      <c r="D5" s="2" t="s">
        <v>39</v>
      </c>
      <c r="E5" s="2" t="s">
        <v>40</v>
      </c>
      <c r="F5" s="3">
        <v>46150.0</v>
      </c>
      <c r="G5" s="3">
        <v>46162.0</v>
      </c>
      <c r="H5" s="2">
        <v>100.0</v>
      </c>
      <c r="I5" s="2">
        <v>55.0</v>
      </c>
      <c r="J5" s="2">
        <f t="shared" si="1"/>
        <v>45</v>
      </c>
      <c r="K5" s="2" t="s">
        <v>41</v>
      </c>
      <c r="L5" s="2" t="b">
        <v>0</v>
      </c>
      <c r="M5" s="2">
        <v>3.0</v>
      </c>
      <c r="N5" s="4"/>
      <c r="O5" s="3">
        <v>46150.0</v>
      </c>
      <c r="P5" s="3">
        <v>46162.0</v>
      </c>
      <c r="Q5" s="2" t="s">
        <v>32</v>
      </c>
      <c r="R5" s="2">
        <f t="shared" si="2"/>
        <v>6</v>
      </c>
      <c r="S5" s="2" t="s">
        <v>33</v>
      </c>
      <c r="T5" s="2">
        <v>1.0</v>
      </c>
      <c r="U5" s="2" t="s">
        <v>34</v>
      </c>
    </row>
    <row r="6">
      <c r="A6" s="2">
        <v>5.0</v>
      </c>
      <c r="B6" s="2" t="s">
        <v>21</v>
      </c>
      <c r="C6" s="2" t="s">
        <v>42</v>
      </c>
      <c r="D6" s="2" t="s">
        <v>43</v>
      </c>
      <c r="E6" s="2" t="s">
        <v>24</v>
      </c>
      <c r="F6" s="3">
        <v>46153.0</v>
      </c>
      <c r="G6" s="3">
        <v>46154.0</v>
      </c>
      <c r="H6" s="2">
        <v>100.0</v>
      </c>
      <c r="I6" s="2">
        <v>100.0</v>
      </c>
      <c r="J6" s="2">
        <f t="shared" si="1"/>
        <v>0</v>
      </c>
      <c r="K6" s="2" t="s">
        <v>44</v>
      </c>
      <c r="L6" s="2" t="b">
        <v>0</v>
      </c>
      <c r="M6" s="2">
        <v>3.0</v>
      </c>
      <c r="N6" s="4"/>
      <c r="O6" s="3">
        <v>46153.0</v>
      </c>
      <c r="P6" s="3">
        <v>46154.0</v>
      </c>
      <c r="Q6" s="2" t="s">
        <v>26</v>
      </c>
      <c r="R6" s="2">
        <f t="shared" si="2"/>
        <v>0</v>
      </c>
      <c r="S6" s="2" t="s">
        <v>27</v>
      </c>
      <c r="T6" s="2">
        <v>6.0</v>
      </c>
      <c r="U6" s="2" t="s">
        <v>28</v>
      </c>
    </row>
    <row r="7">
      <c r="A7" s="2">
        <v>6.0</v>
      </c>
      <c r="B7" s="2" t="s">
        <v>21</v>
      </c>
      <c r="C7" s="2" t="s">
        <v>42</v>
      </c>
      <c r="D7" s="2" t="s">
        <v>45</v>
      </c>
      <c r="E7" s="2" t="s">
        <v>30</v>
      </c>
      <c r="F7" s="3">
        <v>46155.0</v>
      </c>
      <c r="G7" s="3">
        <v>46160.0</v>
      </c>
      <c r="H7" s="2">
        <v>100.0</v>
      </c>
      <c r="I7" s="2">
        <v>80.0</v>
      </c>
      <c r="J7" s="2">
        <f t="shared" si="1"/>
        <v>20</v>
      </c>
      <c r="K7" s="2" t="s">
        <v>46</v>
      </c>
      <c r="L7" s="2" t="b">
        <v>0</v>
      </c>
      <c r="M7" s="2">
        <v>5.0</v>
      </c>
      <c r="N7" s="4"/>
      <c r="O7" s="3">
        <v>46155.0</v>
      </c>
      <c r="P7" s="3">
        <v>46160.0</v>
      </c>
      <c r="Q7" s="2" t="s">
        <v>32</v>
      </c>
      <c r="R7" s="2">
        <f t="shared" si="2"/>
        <v>2</v>
      </c>
      <c r="S7" s="2" t="s">
        <v>33</v>
      </c>
      <c r="T7" s="2">
        <v>1.0</v>
      </c>
      <c r="U7" s="2" t="s">
        <v>34</v>
      </c>
    </row>
    <row r="8">
      <c r="A8" s="2">
        <v>7.0</v>
      </c>
      <c r="B8" s="2" t="s">
        <v>21</v>
      </c>
      <c r="C8" s="2" t="s">
        <v>42</v>
      </c>
      <c r="D8" s="2" t="s">
        <v>47</v>
      </c>
      <c r="E8" s="2" t="s">
        <v>30</v>
      </c>
      <c r="F8" s="3">
        <v>46161.0</v>
      </c>
      <c r="G8" s="3">
        <v>46166.0</v>
      </c>
      <c r="H8" s="2">
        <v>33.0</v>
      </c>
      <c r="I8" s="2">
        <v>35.0</v>
      </c>
      <c r="J8" s="2">
        <f t="shared" si="1"/>
        <v>-2</v>
      </c>
      <c r="K8" s="2" t="s">
        <v>46</v>
      </c>
      <c r="L8" s="2" t="b">
        <v>0</v>
      </c>
      <c r="M8" s="2">
        <v>6.0</v>
      </c>
      <c r="N8" s="4"/>
      <c r="O8" s="3">
        <v>46161.0</v>
      </c>
      <c r="P8" s="3">
        <v>46166.0</v>
      </c>
      <c r="Q8" s="2" t="s">
        <v>32</v>
      </c>
      <c r="R8" s="2">
        <f t="shared" si="2"/>
        <v>0</v>
      </c>
      <c r="S8" s="2" t="s">
        <v>48</v>
      </c>
      <c r="T8" s="2">
        <v>4.0</v>
      </c>
      <c r="U8" s="2" t="s">
        <v>49</v>
      </c>
    </row>
    <row r="9">
      <c r="A9" s="2">
        <v>8.0</v>
      </c>
      <c r="B9" s="2" t="s">
        <v>21</v>
      </c>
      <c r="C9" s="2" t="s">
        <v>42</v>
      </c>
      <c r="D9" s="2" t="s">
        <v>50</v>
      </c>
      <c r="E9" s="2" t="s">
        <v>40</v>
      </c>
      <c r="F9" s="3">
        <v>46167.0</v>
      </c>
      <c r="G9" s="3">
        <v>46168.0</v>
      </c>
      <c r="H9" s="2">
        <v>0.0</v>
      </c>
      <c r="I9" s="2">
        <v>0.0</v>
      </c>
      <c r="J9" s="2">
        <f t="shared" si="1"/>
        <v>0</v>
      </c>
      <c r="K9" s="2" t="s">
        <v>46</v>
      </c>
      <c r="L9" s="2" t="b">
        <v>0</v>
      </c>
      <c r="M9" s="2">
        <v>7.0</v>
      </c>
      <c r="N9" s="4"/>
      <c r="O9" s="3">
        <v>46167.0</v>
      </c>
      <c r="P9" s="3">
        <v>46168.0</v>
      </c>
      <c r="Q9" s="2" t="s">
        <v>32</v>
      </c>
      <c r="R9" s="2">
        <f t="shared" si="2"/>
        <v>0</v>
      </c>
      <c r="S9" s="2" t="s">
        <v>51</v>
      </c>
      <c r="T9" s="2">
        <v>5.0</v>
      </c>
      <c r="U9" s="2" t="s">
        <v>52</v>
      </c>
    </row>
    <row r="10">
      <c r="A10" s="2">
        <v>9.0</v>
      </c>
      <c r="B10" s="2" t="s">
        <v>21</v>
      </c>
      <c r="C10" s="2" t="s">
        <v>42</v>
      </c>
      <c r="D10" s="2" t="s">
        <v>53</v>
      </c>
      <c r="E10" s="2" t="s">
        <v>30</v>
      </c>
      <c r="F10" s="3">
        <v>46169.0</v>
      </c>
      <c r="G10" s="3">
        <v>46169.0</v>
      </c>
      <c r="H10" s="2">
        <v>0.0</v>
      </c>
      <c r="I10" s="2">
        <v>0.0</v>
      </c>
      <c r="J10" s="2">
        <f t="shared" si="1"/>
        <v>0</v>
      </c>
      <c r="K10" s="2" t="s">
        <v>25</v>
      </c>
      <c r="L10" s="2" t="b">
        <v>1</v>
      </c>
      <c r="M10" s="2">
        <v>8.0</v>
      </c>
      <c r="N10" s="4"/>
      <c r="O10" s="3">
        <v>46169.0</v>
      </c>
      <c r="P10" s="3">
        <v>46169.0</v>
      </c>
      <c r="Q10" s="2" t="s">
        <v>32</v>
      </c>
      <c r="R10" s="2">
        <f t="shared" si="2"/>
        <v>0</v>
      </c>
      <c r="S10" s="2" t="s">
        <v>51</v>
      </c>
      <c r="T10" s="2">
        <v>5.0</v>
      </c>
      <c r="U10" s="2" t="s">
        <v>52</v>
      </c>
    </row>
    <row r="11">
      <c r="A11" s="2">
        <v>10.0</v>
      </c>
      <c r="B11" s="2" t="s">
        <v>21</v>
      </c>
      <c r="C11" s="2" t="s">
        <v>54</v>
      </c>
      <c r="D11" s="2" t="s">
        <v>55</v>
      </c>
      <c r="E11" s="2" t="s">
        <v>30</v>
      </c>
      <c r="F11" s="3">
        <v>46170.0</v>
      </c>
      <c r="G11" s="3">
        <v>46176.0</v>
      </c>
      <c r="H11" s="2">
        <v>0.0</v>
      </c>
      <c r="I11" s="2">
        <v>0.0</v>
      </c>
      <c r="J11" s="2">
        <f t="shared" si="1"/>
        <v>0</v>
      </c>
      <c r="K11" s="2" t="s">
        <v>56</v>
      </c>
      <c r="L11" s="2" t="b">
        <v>0</v>
      </c>
      <c r="M11" s="2">
        <v>9.0</v>
      </c>
      <c r="O11" s="3">
        <v>46170.0</v>
      </c>
      <c r="P11" s="3">
        <v>46176.0</v>
      </c>
      <c r="Q11" s="2" t="s">
        <v>32</v>
      </c>
      <c r="R11" s="2">
        <f t="shared" si="2"/>
        <v>0</v>
      </c>
      <c r="S11" s="2" t="s">
        <v>51</v>
      </c>
      <c r="T11" s="2">
        <v>5.0</v>
      </c>
      <c r="U11" s="2" t="s">
        <v>52</v>
      </c>
    </row>
    <row r="12">
      <c r="A12" s="2">
        <v>11.0</v>
      </c>
      <c r="B12" s="2" t="s">
        <v>21</v>
      </c>
      <c r="C12" s="2" t="s">
        <v>54</v>
      </c>
      <c r="D12" s="2" t="s">
        <v>57</v>
      </c>
      <c r="E12" s="2" t="s">
        <v>40</v>
      </c>
      <c r="F12" s="3">
        <v>46177.0</v>
      </c>
      <c r="G12" s="3">
        <v>46183.0</v>
      </c>
      <c r="H12" s="2">
        <v>0.0</v>
      </c>
      <c r="I12" s="2">
        <v>0.0</v>
      </c>
      <c r="J12" s="2">
        <f t="shared" si="1"/>
        <v>0</v>
      </c>
      <c r="K12" s="2" t="s">
        <v>58</v>
      </c>
      <c r="L12" s="2" t="b">
        <v>0</v>
      </c>
      <c r="M12" s="2">
        <v>10.0</v>
      </c>
      <c r="O12" s="3">
        <v>46177.0</v>
      </c>
      <c r="P12" s="3">
        <v>46183.0</v>
      </c>
      <c r="Q12" s="2" t="s">
        <v>32</v>
      </c>
      <c r="R12" s="2">
        <f t="shared" si="2"/>
        <v>0</v>
      </c>
      <c r="S12" s="2" t="s">
        <v>51</v>
      </c>
      <c r="T12" s="2">
        <v>5.0</v>
      </c>
      <c r="U12" s="2" t="s">
        <v>52</v>
      </c>
    </row>
    <row r="13">
      <c r="A13" s="2">
        <v>12.0</v>
      </c>
      <c r="B13" s="2" t="s">
        <v>21</v>
      </c>
      <c r="C13" s="2" t="s">
        <v>59</v>
      </c>
      <c r="D13" s="2" t="s">
        <v>60</v>
      </c>
      <c r="E13" s="2" t="s">
        <v>40</v>
      </c>
      <c r="F13" s="3">
        <v>46184.0</v>
      </c>
      <c r="G13" s="3">
        <v>46187.0</v>
      </c>
      <c r="H13" s="2">
        <v>0.0</v>
      </c>
      <c r="I13" s="2">
        <v>0.0</v>
      </c>
      <c r="J13" s="2">
        <f t="shared" si="1"/>
        <v>0</v>
      </c>
      <c r="K13" s="2" t="s">
        <v>61</v>
      </c>
      <c r="L13" s="2" t="b">
        <v>0</v>
      </c>
      <c r="M13" s="2">
        <v>11.0</v>
      </c>
      <c r="O13" s="3">
        <v>46184.0</v>
      </c>
      <c r="P13" s="3">
        <v>46187.0</v>
      </c>
      <c r="Q13" s="2" t="s">
        <v>32</v>
      </c>
      <c r="R13" s="2">
        <f t="shared" si="2"/>
        <v>0</v>
      </c>
      <c r="S13" s="2" t="s">
        <v>51</v>
      </c>
      <c r="T13" s="2">
        <v>5.0</v>
      </c>
      <c r="U13" s="2" t="s">
        <v>52</v>
      </c>
    </row>
    <row r="14">
      <c r="A14" s="2">
        <v>13.0</v>
      </c>
      <c r="B14" s="2" t="s">
        <v>21</v>
      </c>
      <c r="C14" s="2" t="s">
        <v>59</v>
      </c>
      <c r="D14" s="2" t="s">
        <v>62</v>
      </c>
      <c r="E14" s="2" t="s">
        <v>40</v>
      </c>
      <c r="F14" s="3">
        <v>46188.0</v>
      </c>
      <c r="G14" s="3">
        <v>46188.0</v>
      </c>
      <c r="H14" s="2">
        <v>0.0</v>
      </c>
      <c r="I14" s="2">
        <v>0.0</v>
      </c>
      <c r="J14" s="2">
        <f t="shared" si="1"/>
        <v>0</v>
      </c>
      <c r="K14" s="2" t="s">
        <v>63</v>
      </c>
      <c r="L14" s="2" t="b">
        <v>1</v>
      </c>
      <c r="M14" s="2">
        <v>12.0</v>
      </c>
      <c r="O14" s="3">
        <v>46188.0</v>
      </c>
      <c r="P14" s="3">
        <v>46188.0</v>
      </c>
      <c r="Q14" s="2" t="s">
        <v>32</v>
      </c>
      <c r="R14" s="2">
        <f t="shared" si="2"/>
        <v>0</v>
      </c>
      <c r="S14" s="2" t="s">
        <v>51</v>
      </c>
      <c r="T14" s="2">
        <v>5.0</v>
      </c>
      <c r="U14" s="2" t="s">
        <v>52</v>
      </c>
    </row>
    <row r="18">
      <c r="E18" s="4"/>
      <c r="F18" s="4"/>
      <c r="L18" s="4"/>
      <c r="M18" s="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printOptions/>
  <pageMargins bottom="1.0" footer="0.0" header="0.0" left="0.75" right="0.75" top="1.0"/>
  <pageSetup orientation="landscape"/>
  <drawing r:id="rId1"/>
</worksheet>
</file>